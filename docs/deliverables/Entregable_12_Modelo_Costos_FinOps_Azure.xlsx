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Parametros_y_Volumetria" sheetId="1" state="visible" r:id="rId1"/>
    <sheet name="2_Costos_Cloud_Azure_1_Estacion" sheetId="2" state="visible" r:id="rId2"/>
    <sheet name="3_Escalamiento_1_a_10_Estaciones" sheetId="3" state="visible" r:id="rId3"/>
    <sheet name="4_Comparativa_Azure_vs_AWS" sheetId="4" state="visible" r:id="rId4"/>
    <sheet name="5_Caso_Negocio_ROI_3_Turn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0.00&quot; meses&quot;"/>
    <numFmt numFmtId="166" formatCode="0.0%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F172A"/>
      <sz val="11"/>
    </font>
  </fonts>
  <fills count="5">
    <fill>
      <patternFill/>
    </fill>
    <fill>
      <patternFill patternType="gray125"/>
    </fill>
    <fill>
      <patternFill patternType="solid">
        <fgColor rgb="000284C7"/>
        <bgColor rgb="000284C7"/>
      </patternFill>
    </fill>
    <fill>
      <patternFill patternType="solid">
        <fgColor rgb="000F172A"/>
        <bgColor rgb="000F172A"/>
      </patternFill>
    </fill>
    <fill>
      <patternFill patternType="solid">
        <fgColor rgb="00E0F2FE"/>
        <bgColor rgb="00E0F2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0" fontId="2" fillId="4" borderId="1" pivotButton="0" quotePrefix="0" xfId="0"/>
    <xf numFmtId="164" fontId="2" fillId="4" borderId="1" pivotButton="0" quotePrefix="0" xfId="0"/>
    <xf numFmtId="165" fontId="2" fillId="4" borderId="1" pivotButton="0" quotePrefix="0" xfId="0"/>
    <xf numFmtId="166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48" customWidth="1" min="1" max="1"/>
    <col width="48" customWidth="1" min="2" max="2"/>
    <col width="18" customWidth="1" min="3" max="3"/>
    <col width="21" customWidth="1" min="4" max="4"/>
    <col width="48" customWidth="1" min="5" max="5"/>
  </cols>
  <sheetData>
    <row r="1">
      <c r="A1" s="1" t="inlineStr">
        <is>
          <t>INDRA GROUP — MODELO DE VOLUMETRÍA Y PARÁMETROS OPERATIVOS (PICK &amp; PACK IA)</t>
        </is>
      </c>
      <c r="B1" s="1" t="n"/>
      <c r="C1" s="1" t="n"/>
      <c r="D1" s="1" t="n"/>
      <c r="E1" s="1" t="n"/>
    </row>
    <row r="2"/>
    <row r="3">
      <c r="A3" s="2" t="inlineStr">
        <is>
          <t>Código</t>
        </is>
      </c>
      <c r="B3" s="2" t="inlineStr">
        <is>
          <t>Parámetro Operativo / Técnico</t>
        </is>
      </c>
      <c r="C3" s="2" t="inlineStr">
        <is>
          <t>Valor</t>
        </is>
      </c>
      <c r="D3" s="2" t="inlineStr">
        <is>
          <t>Unidad</t>
        </is>
      </c>
      <c r="E3" s="2" t="inlineStr">
        <is>
          <t>Justificación / Supuesto de Ingeniería</t>
        </is>
      </c>
    </row>
    <row r="4">
      <c r="A4" s="3" t="inlineStr">
        <is>
          <t>P01</t>
        </is>
      </c>
      <c r="B4" s="3" t="inlineStr">
        <is>
          <t>Turnos operativos por día</t>
        </is>
      </c>
      <c r="C4" s="3" t="n">
        <v>3</v>
      </c>
      <c r="D4" s="3" t="inlineStr">
        <is>
          <t>turnos/día</t>
        </is>
      </c>
      <c r="E4" s="3" t="inlineStr">
        <is>
          <t>Operación continua 24h (3 turnos de 8 horas en planta).</t>
        </is>
      </c>
    </row>
    <row r="5">
      <c r="A5" s="3" t="inlineStr">
        <is>
          <t>P02</t>
        </is>
      </c>
      <c r="B5" s="3" t="inlineStr">
        <is>
          <t>Días operativos por mes</t>
        </is>
      </c>
      <c r="C5" s="3" t="n">
        <v>30</v>
      </c>
      <c r="D5" s="3" t="inlineStr">
        <is>
          <t>días/mes</t>
        </is>
      </c>
      <c r="E5" s="3" t="inlineStr">
        <is>
          <t>Planta industrial de empaque operando 30 días/mes.</t>
        </is>
      </c>
    </row>
    <row r="6">
      <c r="A6" s="3" t="inlineStr">
        <is>
          <t>P03</t>
        </is>
      </c>
      <c r="B6" s="3" t="inlineStr">
        <is>
          <t>Inspecciones de visión por turno (1 estación)</t>
        </is>
      </c>
      <c r="C6" s="3" t="n">
        <v>1500</v>
      </c>
      <c r="D6" s="3" t="inlineStr">
        <is>
          <t>objetos/turno</t>
        </is>
      </c>
      <c r="E6" s="3" t="inlineStr">
        <is>
          <t>Cadencia media de 3.12 piezas/minuto con picos de 15 piezas/minuto.</t>
        </is>
      </c>
    </row>
    <row r="7">
      <c r="A7" s="3" t="inlineStr">
        <is>
          <t>P04</t>
        </is>
      </c>
      <c r="B7" s="3" t="inlineStr">
        <is>
          <t>Inspecciones mensuales de visión (1 estación)</t>
        </is>
      </c>
      <c r="C7" s="3">
        <f>C4*C5*C6</f>
        <v/>
      </c>
      <c r="D7" s="3" t="inlineStr">
        <is>
          <t>objetos/mes</t>
        </is>
      </c>
      <c r="E7" s="3" t="inlineStr">
        <is>
          <t>135,000 inferencias/mes procesadas 100% en CPU Edge (&lt;15 ms).</t>
        </is>
      </c>
    </row>
    <row r="8">
      <c r="A8" s="3" t="inlineStr">
        <is>
          <t>P05</t>
        </is>
      </c>
      <c r="B8" s="3" t="inlineStr">
        <is>
          <t>Tasa de abstención / cola de revisión humana</t>
        </is>
      </c>
      <c r="C8" s="3" t="n">
        <v>0.0392</v>
      </c>
      <c r="D8" s="3" t="inlineStr">
        <is>
          <t>proporción</t>
        </is>
      </c>
      <c r="E8" s="3" t="inlineStr">
        <is>
          <t>3.92% de capturas dudosas (sigma_theta &gt; 10° o desenfoque) suben a nube.</t>
        </is>
      </c>
    </row>
    <row r="9">
      <c r="A9" s="3" t="inlineStr">
        <is>
          <t>P06</t>
        </is>
      </c>
      <c r="B9" s="3" t="inlineStr">
        <is>
          <t>Muestras de auditoría subidas a Blob Storage</t>
        </is>
      </c>
      <c r="C9" s="3" t="n">
        <v>0.05</v>
      </c>
      <c r="D9" s="3" t="inlineStr">
        <is>
          <t>proporción</t>
        </is>
      </c>
      <c r="E9" s="3" t="inlineStr">
        <is>
          <t>5% de muestreo aleatorio + 3.92% rechazadas para MLOps y reentrenamiento.</t>
        </is>
      </c>
    </row>
    <row r="10">
      <c r="A10" s="3" t="inlineStr">
        <is>
          <t>P07</t>
        </is>
      </c>
      <c r="B10" s="3" t="inlineStr">
        <is>
          <t>Tamaño medio de imagen RGB 128x128 (PNG)</t>
        </is>
      </c>
      <c r="C10" s="3" t="n">
        <v>0.028</v>
      </c>
      <c r="D10" s="3" t="inlineStr">
        <is>
          <t>MB/imagen</t>
        </is>
      </c>
      <c r="E10" s="3" t="inlineStr">
        <is>
          <t>Imagen 128x128 comprimida + metadatos JSON de telemetría.</t>
        </is>
      </c>
    </row>
    <row r="11">
      <c r="A11" s="3" t="inlineStr">
        <is>
          <t>P08</t>
        </is>
      </c>
      <c r="B11" s="3" t="inlineStr">
        <is>
          <t>Consultas al Copiloto Agéntico por turno</t>
        </is>
      </c>
      <c r="C11" s="3" t="n">
        <v>60</v>
      </c>
      <c r="D11" s="3" t="inlineStr">
        <is>
          <t>turnos/turno</t>
        </is>
      </c>
      <c r="E11" s="3" t="inlineStr">
        <is>
          <t>Supervisores, calidad, mantenimiento y entrega de turno automática.</t>
        </is>
      </c>
    </row>
    <row r="12">
      <c r="A12" s="3" t="inlineStr">
        <is>
          <t>P09</t>
        </is>
      </c>
      <c r="B12" s="3" t="inlineStr">
        <is>
          <t>Interacciones agénticas mensuales (1 estación)</t>
        </is>
      </c>
      <c r="C12" s="3">
        <f>C4*C5*C11</f>
        <v/>
      </c>
      <c r="D12" s="3" t="inlineStr">
        <is>
          <t>interacciones/mes</t>
        </is>
      </c>
      <c r="E12" s="3" t="inlineStr">
        <is>
          <t>5,400 ejecuciones agénticas/mes por estación.</t>
        </is>
      </c>
    </row>
    <row r="13">
      <c r="A13" s="3" t="inlineStr">
        <is>
          <t>P10</t>
        </is>
      </c>
      <c r="B13" s="3" t="inlineStr">
        <is>
          <t>Tokens de entrada promedio por turno agéntico</t>
        </is>
      </c>
      <c r="C13" s="3" t="n">
        <v>1600</v>
      </c>
      <c r="D13" s="3" t="inlineStr">
        <is>
          <t>tokens/turno</t>
        </is>
      </c>
      <c r="E13" s="3" t="inlineStr">
        <is>
          <t>System prompt + esquemas de tools + contexto RAG acotado (ventana 6 turnos).</t>
        </is>
      </c>
    </row>
    <row r="14">
      <c r="A14" s="3" t="inlineStr">
        <is>
          <t>P11</t>
        </is>
      </c>
      <c r="B14" s="3" t="inlineStr">
        <is>
          <t>Tokens de salida promedio por turno agéntico</t>
        </is>
      </c>
      <c r="C14" s="3" t="n">
        <v>450</v>
      </c>
      <c r="D14" s="3" t="inlineStr">
        <is>
          <t>tokens/turno</t>
        </is>
      </c>
      <c r="E14" s="3" t="inlineStr">
        <is>
          <t>Invocación JSON de tools + respuesta ejecutiva con citas SOP.</t>
        </is>
      </c>
    </row>
    <row r="15">
      <c r="A15" s="3" t="inlineStr">
        <is>
          <t>P12</t>
        </is>
      </c>
      <c r="B15" s="3" t="inlineStr">
        <is>
          <t>Proporción de tráfico enrutado a modelo ligero (GPT-4o-mini)</t>
        </is>
      </c>
      <c r="C15" s="3" t="n">
        <v>0.8</v>
      </c>
      <c r="D15" s="3" t="inlineStr">
        <is>
          <t>proporción</t>
        </is>
      </c>
      <c r="E15" s="3" t="inlineStr">
        <is>
          <t>80% de consultas estructuradas/rutinarias resueltas por modelo ligero.</t>
        </is>
      </c>
    </row>
    <row r="16">
      <c r="A16" s="3" t="inlineStr">
        <is>
          <t>P13</t>
        </is>
      </c>
      <c r="B16" s="3" t="inlineStr">
        <is>
          <t>Proporción de tráfico enrutado a modelo avanzado (GPT-4o)</t>
        </is>
      </c>
      <c r="C16" s="3" t="n">
        <v>0.2</v>
      </c>
      <c r="D16" s="3" t="inlineStr">
        <is>
          <t>proporción</t>
        </is>
      </c>
      <c r="E16" s="3" t="inlineStr">
        <is>
          <t>20% de diagnósticos complejos multi-causa y reportes gerenciales.</t>
        </is>
      </c>
    </row>
    <row r="17">
      <c r="A17" s="3" t="inlineStr">
        <is>
          <t>P14</t>
        </is>
      </c>
      <c r="B17" s="3" t="inlineStr">
        <is>
          <t>Tarifa Azure OpenAI GPT-4o-mini Input (1M tokens)</t>
        </is>
      </c>
      <c r="C17" s="3" t="n">
        <v>0.15</v>
      </c>
      <c r="D17" s="3" t="inlineStr">
        <is>
          <t>USD / 1M tok</t>
        </is>
      </c>
      <c r="E17" s="3" t="inlineStr">
        <is>
          <t>Precios públicos Azure OpenAI East US 2 (Pay-As-You-Go).</t>
        </is>
      </c>
    </row>
    <row r="18">
      <c r="A18" s="3" t="inlineStr">
        <is>
          <t>P15</t>
        </is>
      </c>
      <c r="B18" s="3" t="inlineStr">
        <is>
          <t>Tarifa Azure OpenAI GPT-4o-mini Output (1M tokens)</t>
        </is>
      </c>
      <c r="C18" s="3" t="n">
        <v>0.6</v>
      </c>
      <c r="D18" s="3" t="inlineStr">
        <is>
          <t>USD / 1M tok</t>
        </is>
      </c>
      <c r="E18" s="3" t="inlineStr">
        <is>
          <t>Precios públicos Azure OpenAI East US 2 (Pay-As-You-Go).</t>
        </is>
      </c>
    </row>
    <row r="19">
      <c r="A19" s="3" t="inlineStr">
        <is>
          <t>P16</t>
        </is>
      </c>
      <c r="B19" s="3" t="inlineStr">
        <is>
          <t>Tarifa Azure OpenAI GPT-4o Input (1M tokens)</t>
        </is>
      </c>
      <c r="C19" s="3" t="n">
        <v>2.5</v>
      </c>
      <c r="D19" s="3" t="inlineStr">
        <is>
          <t>USD / 1M tok</t>
        </is>
      </c>
      <c r="E19" s="3" t="inlineStr">
        <is>
          <t>Precios públicos Azure OpenAI East US 2 (Pay-As-You-Go).</t>
        </is>
      </c>
    </row>
    <row r="20">
      <c r="A20" s="3" t="inlineStr">
        <is>
          <t>P17</t>
        </is>
      </c>
      <c r="B20" s="3" t="inlineStr">
        <is>
          <t>Tarifa Azure OpenAI GPT-4o Output (1M tokens)</t>
        </is>
      </c>
      <c r="C20" s="3" t="n">
        <v>10</v>
      </c>
      <c r="D20" s="3" t="inlineStr">
        <is>
          <t>USD / 1M tok</t>
        </is>
      </c>
      <c r="E20" s="3" t="inlineStr">
        <is>
          <t>Precios públicos Azure OpenAI East US 2 (Pay-As-You-Go).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48" customWidth="1" min="1" max="1"/>
    <col width="48" customWidth="1" min="2" max="2"/>
    <col width="48" customWidth="1" min="3" max="3"/>
    <col width="18" customWidth="1" min="4" max="4"/>
    <col width="24" customWidth="1" min="5" max="5"/>
    <col width="23" customWidth="1" min="6" max="6"/>
    <col width="21" customWidth="1" min="7" max="7"/>
  </cols>
  <sheetData>
    <row r="1">
      <c r="A1" s="1" t="inlineStr">
        <is>
          <t>DESGLOSE FINOPS DE ARQUITECTURA HÍBRIDA EDGE + AZURE CLOUD (1 ESTACIÓN PRODUCTIVA)</t>
        </is>
      </c>
      <c r="B1" s="1" t="n"/>
      <c r="C1" s="1" t="n"/>
      <c r="D1" s="1" t="n"/>
      <c r="E1" s="1" t="n"/>
      <c r="F1" s="1" t="n"/>
      <c r="G1" s="1" t="n"/>
    </row>
    <row r="2"/>
    <row r="3">
      <c r="A3" s="2" t="inlineStr">
        <is>
          <t>Capa Arquitectónica</t>
        </is>
      </c>
      <c r="B3" s="2" t="inlineStr">
        <is>
          <t>Servicio Concreto en Microsoft Azure</t>
        </is>
      </c>
      <c r="C3" s="2" t="inlineStr">
        <is>
          <t>SKU / Tier Dimensionado</t>
        </is>
      </c>
      <c r="D3" s="2" t="inlineStr">
        <is>
          <t>Unidades / Mes</t>
        </is>
      </c>
      <c r="E3" s="2" t="inlineStr">
        <is>
          <t>Costo Unitario (USD)</t>
        </is>
      </c>
      <c r="F3" s="2" t="inlineStr">
        <is>
          <t>Costo Mensual (USD)</t>
        </is>
      </c>
      <c r="G3" s="2" t="inlineStr">
        <is>
          <t>Costo Anual (USD)</t>
        </is>
      </c>
    </row>
    <row r="4">
      <c r="A4" s="3" t="inlineStr">
        <is>
          <t>1. Edge &amp; Ingesta Industrial</t>
        </is>
      </c>
      <c r="B4" s="3" t="inlineStr">
        <is>
          <t>Azure IoT Hub + Azure Arc K8s Management</t>
        </is>
      </c>
      <c r="C4" s="3" t="inlineStr">
        <is>
          <t>IoT Hub Standard S1 (400k msgs/día) + Arc Native</t>
        </is>
      </c>
      <c r="D4" s="3" t="n">
        <v>1</v>
      </c>
      <c r="E4" s="4" t="n">
        <v>25</v>
      </c>
      <c r="F4" s="4">
        <f>D4*E4</f>
        <v/>
      </c>
      <c r="G4" s="4">
        <f>F4*12</f>
        <v/>
      </c>
    </row>
    <row r="5">
      <c r="A5" s="3" t="inlineStr">
        <is>
          <t>2. Mensajería &amp; Colas HITL</t>
        </is>
      </c>
      <c r="B5" s="3" t="inlineStr">
        <is>
          <t>Azure Service Bus + Event Hubs</t>
        </is>
      </c>
      <c r="C5" s="3" t="inlineStr">
        <is>
          <t>Service Bus Standard (Colas de rechazo, tickets y HITL)</t>
        </is>
      </c>
      <c r="D5" s="3" t="n">
        <v>1</v>
      </c>
      <c r="E5" s="4" t="n">
        <v>12.5</v>
      </c>
      <c r="F5" s="4">
        <f>D5*E5</f>
        <v/>
      </c>
      <c r="G5" s="4">
        <f>F5*12</f>
        <v/>
      </c>
    </row>
    <row r="6">
      <c r="A6" s="3" t="inlineStr">
        <is>
          <t>3. Cómputo Copiloto &amp; APIs</t>
        </is>
      </c>
      <c r="B6" s="3" t="inlineStr">
        <is>
          <t>Azure Container Apps (ACA)</t>
        </is>
      </c>
      <c r="C6" s="3" t="inlineStr">
        <is>
          <t>Workload Consumption (1 vCPU, 2 GB RAM, 1 réplica activa)</t>
        </is>
      </c>
      <c r="D6" s="3" t="n">
        <v>1</v>
      </c>
      <c r="E6" s="4" t="n">
        <v>34.8</v>
      </c>
      <c r="F6" s="4">
        <f>D6*E6</f>
        <v/>
      </c>
      <c r="G6" s="4">
        <f>F6*12</f>
        <v/>
      </c>
    </row>
    <row r="7">
      <c r="A7" s="3" t="inlineStr">
        <is>
          <t>4. Inferencia LLM (Ruta Ligera 80%)</t>
        </is>
      </c>
      <c r="B7" s="3" t="inlineStr">
        <is>
          <t>Azure OpenAI Service — GPT-4o-mini</t>
        </is>
      </c>
      <c r="C7" s="3" t="inlineStr">
        <is>
          <t>80% de 5,400 turnos/mes (Input 1.6k + Output 450 tok)</t>
        </is>
      </c>
      <c r="D7" s="3" t="n">
        <v>1</v>
      </c>
      <c r="E7" s="4" t="n">
        <v>1.9</v>
      </c>
      <c r="F7" s="4">
        <f>D7*E7</f>
        <v/>
      </c>
      <c r="G7" s="4">
        <f>F7*12</f>
        <v/>
      </c>
    </row>
    <row r="8">
      <c r="A8" s="3" t="inlineStr">
        <is>
          <t>5. Inferencia LLM (Ruta Compleja 20%)</t>
        </is>
      </c>
      <c r="B8" s="3" t="inlineStr">
        <is>
          <t>Azure OpenAI Service — GPT-4o</t>
        </is>
      </c>
      <c r="C8" s="3" t="inlineStr">
        <is>
          <t>20% de 5,400 turnos/mes + síntesis de reportes semanales</t>
        </is>
      </c>
      <c r="D8" s="3" t="n">
        <v>1</v>
      </c>
      <c r="E8" s="4" t="n">
        <v>12.8</v>
      </c>
      <c r="F8" s="4">
        <f>D8*E8</f>
        <v/>
      </c>
      <c r="G8" s="4">
        <f>F8*12</f>
        <v/>
      </c>
    </row>
    <row r="9">
      <c r="A9" s="3" t="inlineStr">
        <is>
          <t>6. Motor RAG Híbrido (SOPs)</t>
        </is>
      </c>
      <c r="B9" s="3" t="inlineStr">
        <is>
          <t>Azure AI Search + Embeddings</t>
        </is>
      </c>
      <c r="C9" s="3" t="inlineStr">
        <is>
          <t>Tier Basic (BM25 Léxico + Vectorial text-embedding-3-small)</t>
        </is>
      </c>
      <c r="D9" s="3" t="n">
        <v>1</v>
      </c>
      <c r="E9" s="4" t="n">
        <v>75.09999999999999</v>
      </c>
      <c r="F9" s="4">
        <f>D9*E9</f>
        <v/>
      </c>
      <c r="G9" s="4">
        <f>F9*12</f>
        <v/>
      </c>
    </row>
    <row r="10">
      <c r="A10" s="3" t="inlineStr">
        <is>
          <t>7. Base de Estado &amp; Auditoría</t>
        </is>
      </c>
      <c r="B10" s="3" t="inlineStr">
        <is>
          <t>Azure Database for PostgreSQL Flexible Server</t>
        </is>
      </c>
      <c r="C10" s="3" t="inlineStr">
        <is>
          <t>Burstable B1ms (2 vCores, 4 GB RAM, 32 GB SSD + Backups)</t>
        </is>
      </c>
      <c r="D10" s="3" t="n">
        <v>1</v>
      </c>
      <c r="E10" s="4" t="n">
        <v>31.4</v>
      </c>
      <c r="F10" s="4">
        <f>D10*E10</f>
        <v/>
      </c>
      <c r="G10" s="4">
        <f>F10*12</f>
        <v/>
      </c>
    </row>
    <row r="11">
      <c r="A11" s="3" t="inlineStr">
        <is>
          <t>8. Estado Efímero &amp; Idempotencia</t>
        </is>
      </c>
      <c r="B11" s="3" t="inlineStr">
        <is>
          <t>Azure Managed Redis</t>
        </is>
      </c>
      <c r="C11" s="3" t="inlineStr">
        <is>
          <t>Basic C0 (250 MB para ventana de sesión y locks TTL 24h)</t>
        </is>
      </c>
      <c r="D11" s="3" t="n">
        <v>1</v>
      </c>
      <c r="E11" s="4" t="n">
        <v>16</v>
      </c>
      <c r="F11" s="4">
        <f>D11*E11</f>
        <v/>
      </c>
      <c r="G11" s="4">
        <f>F11*12</f>
        <v/>
      </c>
    </row>
    <row r="12">
      <c r="A12" s="3" t="inlineStr">
        <is>
          <t>9. Almacenamiento Imágenes &amp; WORM</t>
        </is>
      </c>
      <c r="B12" s="3" t="inlineStr">
        <is>
          <t>Azure Data Lake Storage Gen2 (Blob)</t>
        </is>
      </c>
      <c r="C12" s="3" t="inlineStr">
        <is>
          <t>50 GB Hot (90d) + 200 GB Cool/Archive + Audit Log Inmutable</t>
        </is>
      </c>
      <c r="D12" s="3" t="n">
        <v>1</v>
      </c>
      <c r="E12" s="4" t="n">
        <v>4.85</v>
      </c>
      <c r="F12" s="4">
        <f>D12*E12</f>
        <v/>
      </c>
      <c r="G12" s="4">
        <f>F12*12</f>
        <v/>
      </c>
    </row>
    <row r="13">
      <c r="A13" s="3" t="inlineStr">
        <is>
          <t>10. MLOps, Seguridad &amp; Observabilidad</t>
        </is>
      </c>
      <c r="B13" s="3" t="inlineStr">
        <is>
          <t>Azure ML + App Insights + Key Vault</t>
        </is>
      </c>
      <c r="C13" s="3" t="inlineStr">
        <is>
          <t>Compute Serverless (reentreno semanal) + 8 GB Log Analytics</t>
        </is>
      </c>
      <c r="D13" s="3" t="n">
        <v>1</v>
      </c>
      <c r="E13" s="4" t="n">
        <v>27.2</v>
      </c>
      <c r="F13" s="4">
        <f>D13*E13</f>
        <v/>
      </c>
      <c r="G13" s="4">
        <f>F13*12</f>
        <v/>
      </c>
    </row>
    <row r="14">
      <c r="A14" s="5" t="inlineStr">
        <is>
          <t>TOTAL CLOUD AZURE (1 ESTACIÓN)</t>
        </is>
      </c>
      <c r="B14" s="5" t="inlineStr">
        <is>
          <t>Arquitectura Híbrida Edge-to-Cloud Gobernada</t>
        </is>
      </c>
      <c r="C14" s="5" t="inlineStr">
        <is>
          <t>135,000 inspecciones visión/mes + 5,400 turnos agénticos/mes</t>
        </is>
      </c>
      <c r="D14" s="5" t="inlineStr"/>
      <c r="E14" s="6" t="inlineStr"/>
      <c r="F14" s="6">
        <f>SUM(F4:F13)</f>
        <v/>
      </c>
      <c r="G14" s="6">
        <f>SUM(G4:G13)</f>
        <v/>
      </c>
    </row>
    <row r="15">
      <c r="A15" s="5" t="inlineStr">
        <is>
          <t>COSTO UNITARIO POR 1,000 OBJETOS</t>
        </is>
      </c>
      <c r="B15" s="5" t="inlineStr">
        <is>
          <t>Eficiencia FinOps por procesamiento visual en el Edge</t>
        </is>
      </c>
      <c r="C15" s="5" t="inlineStr">
        <is>
          <t>USD por cada 1,000 piezas inspeccionadas en línea</t>
        </is>
      </c>
      <c r="D15" s="5" t="inlineStr"/>
      <c r="E15" s="6" t="inlineStr"/>
      <c r="F15" s="6">
        <f>(F14/135000)*1000</f>
        <v/>
      </c>
      <c r="G15" s="6" t="inlineStr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48" customWidth="1" min="1" max="1"/>
    <col width="29" customWidth="1" min="2" max="2"/>
    <col width="31" customWidth="1" min="3" max="3"/>
    <col width="31" customWidth="1" min="4" max="4"/>
    <col width="33" customWidth="1" min="5" max="5"/>
    <col width="48" customWidth="1" min="6" max="6"/>
  </cols>
  <sheetData>
    <row r="1">
      <c r="A1" s="1" t="inlineStr">
        <is>
          <t>ECONOMÍA DE ESCALA FINOPS: ESCALAMIENTO DE 1 A 10 ESTACIONES DE INSPECCIÓN</t>
        </is>
      </c>
      <c r="B1" s="1" t="n"/>
      <c r="C1" s="1" t="n"/>
      <c r="D1" s="1" t="n"/>
      <c r="E1" s="1" t="n"/>
      <c r="F1" s="1" t="n"/>
    </row>
    <row r="2"/>
    <row r="3">
      <c r="A3" s="2" t="inlineStr">
        <is>
          <t>Componente de Costo Mensual (USD)</t>
        </is>
      </c>
      <c r="B3" s="2" t="inlineStr">
        <is>
          <t>1 Estación (135k obj/mes)</t>
        </is>
      </c>
      <c r="C3" s="2" t="inlineStr">
        <is>
          <t>3 Estaciones (405k obj/mes)</t>
        </is>
      </c>
      <c r="D3" s="2" t="inlineStr">
        <is>
          <t>5 Estaciones (675k obj/mes)</t>
        </is>
      </c>
      <c r="E3" s="2" t="inlineStr">
        <is>
          <t>10 Estaciones (1.35M obj/mes)</t>
        </is>
      </c>
      <c r="F3" s="2" t="inlineStr">
        <is>
          <t>Comportamiento de Escalamiento FinOps</t>
        </is>
      </c>
    </row>
    <row r="4">
      <c r="A4" s="3" t="inlineStr">
        <is>
          <t>Ingesta IoT Hub + Event Hubs + Service Bus</t>
        </is>
      </c>
      <c r="B4" s="4" t="n">
        <v>37.5</v>
      </c>
      <c r="C4" s="4" t="n">
        <v>48</v>
      </c>
      <c r="D4" s="4" t="n">
        <v>62</v>
      </c>
      <c r="E4" s="4" t="n">
        <v>95</v>
      </c>
      <c r="F4" s="3" t="inlineStr">
        <is>
          <t>Sub-lineal: S1/S2 absorbe múltiples estaciones por planta.</t>
        </is>
      </c>
    </row>
    <row r="5">
      <c r="A5" s="3" t="inlineStr">
        <is>
          <t>Cómputo Azure Container Apps (Copiloto API)</t>
        </is>
      </c>
      <c r="B5" s="4" t="n">
        <v>34.8</v>
      </c>
      <c r="C5" s="4" t="n">
        <v>49</v>
      </c>
      <c r="D5" s="4" t="n">
        <v>68</v>
      </c>
      <c r="E5" s="4" t="n">
        <v>112</v>
      </c>
      <c r="F5" s="3" t="inlineStr">
        <is>
          <t>Auto-scaling KEDA compartido entre todas las estaciones.</t>
        </is>
      </c>
    </row>
    <row r="6">
      <c r="A6" s="3" t="inlineStr">
        <is>
          <t>Consumo Tokens Azure OpenAI (80% mini / 20% 4o)</t>
        </is>
      </c>
      <c r="B6" s="4" t="n">
        <v>14.7</v>
      </c>
      <c r="C6" s="4" t="n">
        <v>44.1</v>
      </c>
      <c r="D6" s="4" t="n">
        <v>73.5</v>
      </c>
      <c r="E6" s="4" t="n">
        <v>147</v>
      </c>
      <c r="F6" s="3" t="inlineStr">
        <is>
          <t>Lineal con el número de consultas operativas y turnos.</t>
        </is>
      </c>
    </row>
    <row r="7">
      <c r="A7" s="3" t="inlineStr">
        <is>
          <t>Motor RAG Azure AI Search (Índice SOP Compartido)</t>
        </is>
      </c>
      <c r="B7" s="4" t="n">
        <v>75.09999999999999</v>
      </c>
      <c r="C7" s="4" t="n">
        <v>75.09999999999999</v>
      </c>
      <c r="D7" s="4" t="n">
        <v>75.09999999999999</v>
      </c>
      <c r="E7" s="4" t="n">
        <v>75.09999999999999</v>
      </c>
      <c r="F7" s="3" t="inlineStr">
        <is>
          <t>Costo Fijo: Un único índice sirve a las 10 estaciones.</t>
        </is>
      </c>
    </row>
    <row r="8">
      <c r="A8" s="3" t="inlineStr">
        <is>
          <t>Estado PostgreSQL Flexible + Azure Managed Redis</t>
        </is>
      </c>
      <c r="B8" s="4" t="n">
        <v>47.4</v>
      </c>
      <c r="C8" s="4" t="n">
        <v>58</v>
      </c>
      <c r="D8" s="4" t="n">
        <v>79</v>
      </c>
      <c r="E8" s="4" t="n">
        <v>118</v>
      </c>
      <c r="F8" s="3" t="inlineStr">
        <is>
          <t>Compartido multi-tenant (plant_id / line_id / station_id).</t>
        </is>
      </c>
    </row>
    <row r="9">
      <c r="A9" s="3" t="inlineStr">
        <is>
          <t>Almacenamiento ADLS Gen2 + MLOps + App Insights</t>
        </is>
      </c>
      <c r="B9" s="4" t="n">
        <v>32.05</v>
      </c>
      <c r="C9" s="4" t="n">
        <v>52</v>
      </c>
      <c r="D9" s="4" t="n">
        <v>78</v>
      </c>
      <c r="E9" s="4" t="n">
        <v>136.9</v>
      </c>
      <c r="F9" s="3" t="inlineStr">
        <is>
          <t>Crecimiento moderado por retención Hot/Cool/Archive.</t>
        </is>
      </c>
    </row>
    <row r="10">
      <c r="A10" s="5" t="inlineStr">
        <is>
          <t>COSTO TOTAL MENSUAL CLOUD (USD/mes)</t>
        </is>
      </c>
      <c r="B10" s="6">
        <f>SUM(B4:B9)</f>
        <v/>
      </c>
      <c r="C10" s="6">
        <f>SUM(C4:C9)</f>
        <v/>
      </c>
      <c r="D10" s="6">
        <f>SUM(D4:D9)</f>
        <v/>
      </c>
      <c r="E10" s="6">
        <f>SUM(E4:E9)</f>
        <v/>
      </c>
      <c r="F10" s="5" t="inlineStr">
        <is>
          <t>Amortización de servicios base compartidos.</t>
        </is>
      </c>
    </row>
    <row r="11">
      <c r="A11" s="5" t="inlineStr">
        <is>
          <t>COSTO PROMEDIO POR ESTACIÓN (USD/estación/mes)</t>
        </is>
      </c>
      <c r="B11" s="6">
        <f>B10/1</f>
        <v/>
      </c>
      <c r="C11" s="6">
        <f>C10/3</f>
        <v/>
      </c>
      <c r="D11" s="6">
        <f>D10/5</f>
        <v/>
      </c>
      <c r="E11" s="6">
        <f>E10/10</f>
        <v/>
      </c>
      <c r="F11" s="5" t="inlineStr">
        <is>
          <t>Reducción del 71.7% en costo por estación al escalar a 10 líneas.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48" customWidth="1" min="1" max="1"/>
    <col width="48" customWidth="1" min="2" max="2"/>
    <col width="48" customWidth="1" min="3" max="3"/>
    <col width="24" customWidth="1" min="4" max="4"/>
    <col width="22" customWidth="1" min="5" max="5"/>
    <col width="48" customWidth="1" min="6" max="6"/>
  </cols>
  <sheetData>
    <row r="1">
      <c r="A1" s="1" t="inlineStr">
        <is>
          <t>TABLA COMPARATIVA TÉCNICA Y ECONÓMICA: MICROSOFT AZURE vs AMAZON WEB SERVICES (AWS)</t>
        </is>
      </c>
      <c r="B1" s="1" t="n"/>
      <c r="C1" s="1" t="n"/>
      <c r="D1" s="1" t="n"/>
      <c r="E1" s="1" t="n"/>
      <c r="F1" s="1" t="n"/>
    </row>
    <row r="2"/>
    <row r="3">
      <c r="A3" s="2" t="inlineStr">
        <is>
          <t>Dominio Arquitectónico</t>
        </is>
      </c>
      <c r="B3" s="2" t="inlineStr">
        <is>
          <t>Microsoft Azure (Recomendado)</t>
        </is>
      </c>
      <c r="C3" s="2" t="inlineStr">
        <is>
          <t>Amazon Web Services (Alternativa)</t>
        </is>
      </c>
      <c r="D3" s="2" t="inlineStr">
        <is>
          <t>Azure 1 Est. (USD/m)</t>
        </is>
      </c>
      <c r="E3" s="2" t="inlineStr">
        <is>
          <t>AWS 1 Est. (USD/m)</t>
        </is>
      </c>
      <c r="F3" s="2" t="inlineStr">
        <is>
          <t>Ventaja Estratégica / Trade-off Decisivo</t>
        </is>
      </c>
    </row>
    <row r="4">
      <c r="A4" s="3" t="inlineStr">
        <is>
          <t>1. Edge Runtime &amp; Gestión OT</t>
        </is>
      </c>
      <c r="B4" s="3" t="inlineStr">
        <is>
          <t>Azure IoT Operations + Azure Arc + IoT Hub S1</t>
        </is>
      </c>
      <c r="C4" s="3" t="inlineStr">
        <is>
          <t>AWS IoT Greengrass v2 + IoT Core + Systems Manager</t>
        </is>
      </c>
      <c r="D4" s="4" t="n">
        <v>25</v>
      </c>
      <c r="E4" s="4" t="n">
        <v>28</v>
      </c>
      <c r="F4" s="3" t="inlineStr">
        <is>
          <t>Azure Arc ofrece integración nativa superior con IPCs Windows/Linux industriales y Entra ID.</t>
        </is>
      </c>
    </row>
    <row r="5">
      <c r="A5" s="3" t="inlineStr">
        <is>
          <t>2. Mensajería &amp; Eventos</t>
        </is>
      </c>
      <c r="B5" s="3" t="inlineStr">
        <is>
          <t>Azure Service Bus + Event Hubs</t>
        </is>
      </c>
      <c r="C5" s="3" t="inlineStr">
        <is>
          <t>Amazon SQS/SNS + Amazon Kinesis Data Streams</t>
        </is>
      </c>
      <c r="D5" s="4" t="n">
        <v>12.5</v>
      </c>
      <c r="E5" s="4" t="n">
        <v>15.4</v>
      </c>
      <c r="F5" s="3" t="inlineStr">
        <is>
          <t>Service Bus soporta sesiones FIFO transaccionales nativas ideales para aprobaciones HITL.</t>
        </is>
      </c>
    </row>
    <row r="6">
      <c r="A6" s="3" t="inlineStr">
        <is>
          <t>3. Hosting Microservicios Agente</t>
        </is>
      </c>
      <c r="B6" s="3" t="inlineStr">
        <is>
          <t>Azure Container Apps (Serverless KEDA)</t>
        </is>
      </c>
      <c r="C6" s="3" t="inlineStr">
        <is>
          <t>AWS App Runner / Amazon ECS Fargate</t>
        </is>
      </c>
      <c r="D6" s="4" t="n">
        <v>34.8</v>
      </c>
      <c r="E6" s="4" t="n">
        <v>38.2</v>
      </c>
      <c r="F6" s="3" t="inlineStr">
        <is>
          <t>ACA permite escalado basado en colas Service Bus con KEDA sin administrar plano de control.</t>
        </is>
      </c>
    </row>
    <row r="7">
      <c r="A7" s="3" t="inlineStr">
        <is>
          <t>4. Modelos Fundacionales (LLM)</t>
        </is>
      </c>
      <c r="B7" s="3" t="inlineStr">
        <is>
          <t>Azure OpenAI (GPT-4o-mini 80% + GPT-4o 20%)</t>
        </is>
      </c>
      <c r="C7" s="3" t="inlineStr">
        <is>
          <t>Amazon Bedrock (Claude 3.5 Haiku 80% + Sonnet 20%)</t>
        </is>
      </c>
      <c r="D7" s="4" t="n">
        <v>14.7</v>
      </c>
      <c r="E7" s="4" t="n">
        <v>18.9</v>
      </c>
      <c r="F7" s="3" t="inlineStr">
        <is>
          <t>GPT-4o-mini presenta menor costo por millón de tokens y latencia determinista en JSON Schema.</t>
        </is>
      </c>
    </row>
    <row r="8">
      <c r="A8" s="3" t="inlineStr">
        <is>
          <t>5. Motor RAG Híbrido (SOPs)</t>
        </is>
      </c>
      <c r="B8" s="3" t="inlineStr">
        <is>
          <t>Azure AI Search Basic (BM25 + Vector + Semantic)</t>
        </is>
      </c>
      <c r="C8" s="3" t="inlineStr">
        <is>
          <t>Amazon OpenSearch Serverless / Aurora pgvector</t>
        </is>
      </c>
      <c r="D8" s="4" t="n">
        <v>75.09999999999999</v>
      </c>
      <c r="E8" s="4" t="n">
        <v>112</v>
      </c>
      <c r="F8" s="3" t="inlineStr">
        <is>
          <t>Azure AI Search Basic cuesta $75/mes con búsqueda híbrida nativa; OpenSearch Serverless exige mínimo 2 OCUs (~$175+).</t>
        </is>
      </c>
    </row>
    <row r="9">
      <c r="A9" s="3" t="inlineStr">
        <is>
          <t>6. Estado Operativo &amp; Caché</t>
        </is>
      </c>
      <c r="B9" s="3" t="inlineStr">
        <is>
          <t>Azure DB for PostgreSQL Flexible + Managed Redis</t>
        </is>
      </c>
      <c r="C9" s="3" t="inlineStr">
        <is>
          <t>Amazon RDS PostgreSQL (t4g.small) + ElastiCache</t>
        </is>
      </c>
      <c r="D9" s="4" t="n">
        <v>47.4</v>
      </c>
      <c r="E9" s="4" t="n">
        <v>49.5</v>
      </c>
      <c r="F9" s="3" t="inlineStr">
        <is>
          <t>Paridad técnica y económica; ambos soportan alta disponibilidad e aislamiento por tenant.</t>
        </is>
      </c>
    </row>
    <row r="10">
      <c r="A10" s="3" t="inlineStr">
        <is>
          <t>7. Data Lake, MLOps &amp; Monitor</t>
        </is>
      </c>
      <c r="B10" s="3" t="inlineStr">
        <is>
          <t>ADLS Gen2 + Azure ML + Application Insights</t>
        </is>
      </c>
      <c r="C10" s="3" t="inlineStr">
        <is>
          <t>Amazon S3 + SageMaker AI + CloudWatch / X-Ray</t>
        </is>
      </c>
      <c r="D10" s="4" t="n">
        <v>32.05</v>
      </c>
      <c r="E10" s="4" t="n">
        <v>34.1</v>
      </c>
      <c r="F10" s="3" t="inlineStr">
        <is>
          <t>Application Insights ofrece trazabilidad OpenTelemetry nativa con Azure AI Foundry.</t>
        </is>
      </c>
    </row>
    <row r="11">
      <c r="A11" s="5" t="inlineStr">
        <is>
          <t>TOTAL MENSUAL COMPARADO (1 ESTACIÓN)</t>
        </is>
      </c>
      <c r="B11" s="5" t="inlineStr">
        <is>
          <t>Microsoft Azure (Cloud + Edge Control Plane)</t>
        </is>
      </c>
      <c r="C11" s="5" t="inlineStr">
        <is>
          <t>Amazon Web Services (Cloud + Edge Control Plane)</t>
        </is>
      </c>
      <c r="D11" s="6">
        <f>SUM(D4:D10)</f>
        <v/>
      </c>
      <c r="E11" s="6">
        <f>SUM(E4:E10)</f>
        <v/>
      </c>
      <c r="F11" s="5" t="inlineStr">
        <is>
          <t>Azure ahorra ~18.4% en escala inicial gracias al tier Basic de Azure AI Search y GPT-4o-mini.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48" customWidth="1" min="1" max="1"/>
    <col width="38" customWidth="1" min="2" max="2"/>
    <col width="34" customWidth="1" min="3" max="3"/>
    <col width="28" customWidth="1" min="4" max="4"/>
    <col width="26" customWidth="1" min="5" max="5"/>
    <col width="48" customWidth="1" min="6" max="6"/>
  </cols>
  <sheetData>
    <row r="1">
      <c r="A1" s="1" t="inlineStr">
        <is>
          <t>CASO DE NEGOCIO Y ROI: BASELINE OPERATIVO (3 TURNOS) vs SOLUCIÓN IA INDRA</t>
        </is>
      </c>
      <c r="B1" s="1" t="n"/>
      <c r="C1" s="1" t="n"/>
      <c r="D1" s="1" t="n"/>
      <c r="E1" s="1" t="n"/>
      <c r="F1" s="1" t="n"/>
    </row>
    <row r="2"/>
    <row r="3">
      <c r="A3" s="2" t="inlineStr">
        <is>
          <t>Rubro de Costo / Beneficio (1 Estación, 3 Turnos = 24h/día)</t>
        </is>
      </c>
      <c r="B3" s="2" t="inlineStr">
        <is>
          <t>Baseline Manual / Sin IA (USD/mes)</t>
        </is>
      </c>
      <c r="C3" s="2" t="inlineStr">
        <is>
          <t>Con Sistema Indra IA (USD/mes)</t>
        </is>
      </c>
      <c r="D3" s="2" t="inlineStr">
        <is>
          <t>Ahorro Mensual (USD/mes)</t>
        </is>
      </c>
      <c r="E3" s="2" t="inlineStr">
        <is>
          <t>Ahorro Anual (USD/año)</t>
        </is>
      </c>
      <c r="F3" s="2" t="inlineStr">
        <is>
          <t>Sustento Operativo y Técnico</t>
        </is>
      </c>
    </row>
    <row r="4">
      <c r="A4" s="3" t="inlineStr">
        <is>
          <t>1. Personal de Inspección y Orientación Manual (3 Turnos + Relevos)</t>
        </is>
      </c>
      <c r="B4" s="4" t="n">
        <v>4725</v>
      </c>
      <c r="C4" s="4" t="n">
        <v>675</v>
      </c>
      <c r="D4" s="4">
        <f>B4-C4</f>
        <v/>
      </c>
      <c r="E4" s="4">
        <f>D4*12</f>
        <v/>
      </c>
      <c r="F4" s="3" t="inlineStr">
        <is>
          <t>Pasa de 3.5 FTEs dedicados (1 por turno) a 0.5 FTE supervisando únicamente la cola de abstención (3.92%).</t>
        </is>
      </c>
    </row>
    <row r="5">
      <c r="A5" s="3" t="inlineStr">
        <is>
          <t>2. Costo de Colisiones Robóticas, Reproceso y Daño de Empaque</t>
        </is>
      </c>
      <c r="B5" s="4" t="n">
        <v>1150</v>
      </c>
      <c r="C5" s="4" t="n">
        <v>92</v>
      </c>
      <c r="D5" s="4">
        <f>B5-C5</f>
        <v/>
      </c>
      <c r="E5" s="4">
        <f>D5*12</f>
        <v/>
      </c>
      <c r="F5" s="3" t="inlineStr">
        <is>
          <t>El guardrail de incertidumbre circular (sigma_theta &lt;= 10°) logra 99.96% de agarres seguros.</t>
        </is>
      </c>
    </row>
    <row r="6">
      <c r="A6" s="3" t="inlineStr">
        <is>
          <t>3. Paradas No Planificadas por Diagnóstico Lento (MTTR 45m -&gt; 8m)</t>
        </is>
      </c>
      <c r="B6" s="4" t="n">
        <v>850</v>
      </c>
      <c r="C6" s="4" t="n">
        <v>170</v>
      </c>
      <c r="D6" s="4">
        <f>B6-C6</f>
        <v/>
      </c>
      <c r="E6" s="4">
        <f>D6*12</f>
        <v/>
      </c>
      <c r="F6" s="3" t="inlineStr">
        <is>
          <t>El Copiloto Agéntico correlaciona telemetría + SOPs con citas y escala tickets en segundos.</t>
        </is>
      </c>
    </row>
    <row r="7">
      <c r="A7" s="3" t="inlineStr">
        <is>
          <t>4. Infraestructura Cloud Azure (OPEX Mensual — Hoja 2)</t>
        </is>
      </c>
      <c r="B7" s="4" t="n">
        <v>0</v>
      </c>
      <c r="C7" s="4">
        <f>'2_Costos_Cloud_Azure_1_Estacion'!F14</f>
        <v/>
      </c>
      <c r="D7" s="4">
        <f>B7-C7</f>
        <v/>
      </c>
      <c r="E7" s="4">
        <f>D7*12</f>
        <v/>
      </c>
      <c r="F7" s="3" t="inlineStr">
        <is>
          <t>Incluye Azure OpenAI, AI Search, Container Apps, PostgreSQL, Redis, IoT Hub y MLOps.</t>
        </is>
      </c>
    </row>
    <row r="8">
      <c r="A8" s="3" t="inlineStr">
        <is>
          <t>5. Amortización IPC Industrial Edge (CAPEX $2,340 a 36 meses)</t>
        </is>
      </c>
      <c r="B8" s="4" t="n">
        <v>0</v>
      </c>
      <c r="C8" s="4" t="n">
        <v>65</v>
      </c>
      <c r="D8" s="4">
        <f>B8-C8</f>
        <v/>
      </c>
      <c r="E8" s="4">
        <f>D8*12</f>
        <v/>
      </c>
      <c r="F8" s="3" t="inlineStr">
        <is>
          <t>Nodo industrial fanless Intel Core i7 / 16GB RAM ejecutando visión clásica en 13.03 ms.</t>
        </is>
      </c>
    </row>
    <row r="9">
      <c r="A9" s="5" t="inlineStr">
        <is>
          <t>FLUJO OPERATIVO TOTAL Y AHORRO NETO (1 ESTACIÓN)</t>
        </is>
      </c>
      <c r="B9" s="6">
        <f>SUM(B4:B8)</f>
        <v/>
      </c>
      <c r="C9" s="6">
        <f>SUM(C4:C8)</f>
        <v/>
      </c>
      <c r="D9" s="6">
        <f>SUM(D4:D8)</f>
        <v/>
      </c>
      <c r="E9" s="6">
        <f>SUM(E4:E8)</f>
        <v/>
      </c>
      <c r="F9" s="5" t="inlineStr">
        <is>
          <t>Reducción neta del 81.5% en el costo operativo de la estación Pick &amp; Pack.</t>
        </is>
      </c>
    </row>
    <row r="10">
      <c r="A10" s="5" t="inlineStr">
        <is>
          <t>PAYBACK DE INVERSIÓN INICIAL ($18,500 USD CAPEX + Integración)</t>
        </is>
      </c>
      <c r="B10" s="5" t="inlineStr"/>
      <c r="C10" s="5" t="inlineStr"/>
      <c r="D10" s="7">
        <f>18500/D9</f>
        <v/>
      </c>
      <c r="E10" s="8">
        <f>(E9-18500)/18500</f>
        <v/>
      </c>
      <c r="F10" s="5" t="inlineStr">
        <is>
          <t>Columna D = Meses para recuperar inversión (3.38 meses) | Columna E = ROI Neto Año 1 (+255.6%).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2026-10-18T16:37:09Z</dcterms:created>
  <dcterms:modified xsi:type="dcterms:W3CDTF">2026-10-18T16:37:09Z</dcterms:modified>
</cp:coreProperties>
</file>